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minohmar/Desktop/UniversityOfLeicester_UoL/FinalYearProject/Git/yo53/Testing/"/>
    </mc:Choice>
  </mc:AlternateContent>
  <xr:revisionPtr revIDLastSave="0" documentId="13_ncr:9_{369AC652-72E7-8B41-B43A-C1F9A7925D8B}" xr6:coauthVersionLast="47" xr6:coauthVersionMax="47" xr10:uidLastSave="{00000000-0000-0000-0000-000000000000}"/>
  <bookViews>
    <workbookView xWindow="360" yWindow="500" windowWidth="28060" windowHeight="15800" xr2:uid="{623DA6D4-E895-9A4F-AAAF-05C951762CCA}"/>
  </bookViews>
  <sheets>
    <sheet name="TaskPaperCLITool_UsabilityTest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1" l="1"/>
  <c r="Q18" i="1"/>
  <c r="Q15" i="1"/>
  <c r="Q12" i="1"/>
  <c r="Q9" i="1"/>
  <c r="Q6" i="1"/>
  <c r="Q3" i="1"/>
</calcChain>
</file>

<file path=xl/sharedStrings.xml><?xml version="1.0" encoding="utf-8"?>
<sst xmlns="http://schemas.openxmlformats.org/spreadsheetml/2006/main" count="65" uniqueCount="46">
  <si>
    <t>Timestamp</t>
  </si>
  <si>
    <t>Do you give consent to use your data for academic purposes?</t>
  </si>
  <si>
    <t>Your name:</t>
  </si>
  <si>
    <t>Your e-mail:</t>
  </si>
  <si>
    <t>Did you find it easy to complete the tasks mentioned in the walkthrough document?</t>
  </si>
  <si>
    <t>Were there any challenges or difficulties you encountered during the walkthrough? If yes, please specify below:</t>
  </si>
  <si>
    <t>SUS (1): I think that I would like to use this system frequently.</t>
  </si>
  <si>
    <t>SUS (2): I found the system unnecessarily complex.</t>
  </si>
  <si>
    <t>SUS (3): I thought the system was easy to use.</t>
  </si>
  <si>
    <t>SUS (4): I think that I would need the support of a technical person to be able to use this system.</t>
  </si>
  <si>
    <t>SUS (5): I found the various functions in this system were well integrated.</t>
  </si>
  <si>
    <t>SUS (6): I thought there was too much inconsistency in this system.</t>
  </si>
  <si>
    <t>SUS (7): I would imagine that most people would learn to use this system very quickly.</t>
  </si>
  <si>
    <t>SUS (8): I found the system very cumbersome to use.</t>
  </si>
  <si>
    <t>SUS (9): I felt very confident using the system.</t>
  </si>
  <si>
    <t>SUS (10): I needed to learn a lot of things before I could get going with this system.</t>
  </si>
  <si>
    <t>Do you have any other feedbacks or thoughts relating to this TaskPaper CLI Tool design?</t>
  </si>
  <si>
    <t>2025/04/25 6:26:52 PM GMT+1</t>
  </si>
  <si>
    <t>Yes</t>
  </si>
  <si>
    <t>Ye Myat Aung</t>
  </si>
  <si>
    <t>yma911@gmail.com</t>
  </si>
  <si>
    <t>Not really, didn't encounter any difficulties. It was pretty straightforward.</t>
  </si>
  <si>
    <t>I liked the way the cli suggests commands if I type them wrong. I'm a bad typer so this will be useful.</t>
  </si>
  <si>
    <t>2025/04/25 6:31:05 PM GMT+1</t>
  </si>
  <si>
    <t>Robert</t>
  </si>
  <si>
    <t>robert@grovedesign.co.uk</t>
  </si>
  <si>
    <t>Nope, it wasn't difficult. I think it was quite smooth and easy to use.</t>
  </si>
  <si>
    <t>This CLI isn't too bad. I'm impressed that it supports undoing a delete action, but this means that it's backing-up my actions constantly. Just wondering if it might take up too much space if I do a large batch item.</t>
  </si>
  <si>
    <t>2025/04/25 7:08:12 PM GMT+1</t>
  </si>
  <si>
    <t>Naw Moe Hsu Shwe Sin</t>
  </si>
  <si>
    <t>moehsu2004@gmail.com</t>
  </si>
  <si>
    <t>No</t>
  </si>
  <si>
    <t>I like the table format display but for adding tasks or project commands, There is too many information displayed.</t>
  </si>
  <si>
    <t>2025/04/25 7:39:58 PM GMT+1</t>
  </si>
  <si>
    <t>Phone Thant</t>
  </si>
  <si>
    <t>phonethantshiva1997@gmail.com</t>
  </si>
  <si>
    <t>In table format, the last color legend is misleading. It should be "Tasks far from due date."</t>
  </si>
  <si>
    <t>2025/04/25 7:50:41 PM GMT+1</t>
  </si>
  <si>
    <t>Shagana</t>
  </si>
  <si>
    <t>St546@student.le.ac.uk</t>
  </si>
  <si>
    <t>2025/04/25 7:55:24 PM GMT+1</t>
  </si>
  <si>
    <t>Manpreet Kaur</t>
  </si>
  <si>
    <t>mk747@student.le.ac.uk</t>
  </si>
  <si>
    <t xml:space="preserve">I liked the command suggestion feature for mistyped commands. However there was an issue with he table label color legend it was wrong. </t>
  </si>
  <si>
    <t>SUS Score</t>
  </si>
  <si>
    <t>Average SUS score for the system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</si>
</sst>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33" borderId="10" xfId="0" applyFont="1" applyFill="1" applyBorder="1"/>
    <xf numFmtId="0" fontId="0" fillId="33" borderId="11" xfId="0" applyFill="1" applyBorder="1"/>
    <xf numFmtId="0" fontId="0" fillId="33" borderId="12" xfId="0" applyFill="1" applyBorder="1"/>
    <xf numFmtId="0" fontId="0" fillId="0" borderId="0" xfId="0" applyFill="1"/>
    <xf numFmtId="0" fontId="18" fillId="0" borderId="0" xfId="0" applyFont="1" applyFill="1" applyBorder="1"/>
    <xf numFmtId="0" fontId="0" fillId="0" borderId="0" xfId="0" applyFill="1" applyBorder="1"/>
    <xf numFmtId="0" fontId="18" fillId="33" borderId="10" xfId="0" applyFont="1" applyFill="1" applyBorder="1" applyAlignment="1">
      <alignment horizontal="center"/>
    </xf>
    <xf numFmtId="0" fontId="18" fillId="33" borderId="11" xfId="0" applyFont="1" applyFill="1" applyBorder="1" applyAlignment="1">
      <alignment horizontal="center"/>
    </xf>
    <xf numFmtId="0" fontId="18" fillId="33" borderId="12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BAE95-207A-5A42-8385-12B861FA8FBE}">
  <dimension ref="A1:Q21"/>
  <sheetViews>
    <sheetView tabSelected="1" topLeftCell="C1" workbookViewId="0">
      <selection activeCell="L24" sqref="L24"/>
    </sheetView>
  </sheetViews>
  <sheetFormatPr baseColWidth="10" defaultRowHeight="16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7" thickBot="1" x14ac:dyDescent="0.25">
      <c r="A2" t="s">
        <v>17</v>
      </c>
      <c r="B2" t="s">
        <v>18</v>
      </c>
      <c r="C2" t="s">
        <v>19</v>
      </c>
      <c r="D2" t="s">
        <v>20</v>
      </c>
      <c r="E2" t="s">
        <v>18</v>
      </c>
      <c r="F2" t="s">
        <v>21</v>
      </c>
      <c r="G2">
        <v>4</v>
      </c>
      <c r="H2">
        <v>1</v>
      </c>
      <c r="I2">
        <v>5</v>
      </c>
      <c r="J2">
        <v>1</v>
      </c>
      <c r="K2">
        <v>5</v>
      </c>
      <c r="L2">
        <v>1</v>
      </c>
      <c r="M2">
        <v>4</v>
      </c>
      <c r="N2">
        <v>1</v>
      </c>
      <c r="O2">
        <v>4</v>
      </c>
      <c r="P2">
        <v>2</v>
      </c>
      <c r="Q2" t="s">
        <v>22</v>
      </c>
    </row>
    <row r="3" spans="1:17" ht="17" thickBot="1" x14ac:dyDescent="0.25">
      <c r="F3" s="1" t="s">
        <v>44</v>
      </c>
      <c r="G3" s="2">
        <v>3</v>
      </c>
      <c r="H3" s="2">
        <v>4</v>
      </c>
      <c r="I3" s="2">
        <v>4</v>
      </c>
      <c r="J3" s="2">
        <v>4</v>
      </c>
      <c r="K3" s="2">
        <v>4</v>
      </c>
      <c r="L3" s="2">
        <v>4</v>
      </c>
      <c r="M3" s="2">
        <v>3</v>
      </c>
      <c r="N3" s="2">
        <v>4</v>
      </c>
      <c r="O3" s="2">
        <v>3</v>
      </c>
      <c r="P3" s="2">
        <v>3</v>
      </c>
      <c r="Q3" s="3">
        <f>SUM(G3:P3)*2.5</f>
        <v>90</v>
      </c>
    </row>
    <row r="4" spans="1:17" s="4" customFormat="1" x14ac:dyDescent="0.2">
      <c r="F4" s="5"/>
      <c r="G4" s="6"/>
      <c r="H4" s="6"/>
      <c r="I4" s="6"/>
      <c r="J4" s="6"/>
      <c r="K4" s="6"/>
      <c r="L4" s="6"/>
      <c r="M4" s="6"/>
      <c r="N4" s="6"/>
      <c r="O4" s="6"/>
      <c r="P4" s="6"/>
      <c r="Q4" s="6"/>
    </row>
    <row r="5" spans="1:17" ht="17" thickBot="1" x14ac:dyDescent="0.25">
      <c r="A5" t="s">
        <v>23</v>
      </c>
      <c r="B5" t="s">
        <v>18</v>
      </c>
      <c r="C5" t="s">
        <v>24</v>
      </c>
      <c r="D5" t="s">
        <v>25</v>
      </c>
      <c r="E5" t="s">
        <v>18</v>
      </c>
      <c r="F5" t="s">
        <v>26</v>
      </c>
      <c r="G5">
        <v>3</v>
      </c>
      <c r="H5">
        <v>1</v>
      </c>
      <c r="I5">
        <v>5</v>
      </c>
      <c r="J5">
        <v>1</v>
      </c>
      <c r="K5">
        <v>5</v>
      </c>
      <c r="L5">
        <v>1</v>
      </c>
      <c r="M5">
        <v>5</v>
      </c>
      <c r="N5">
        <v>1</v>
      </c>
      <c r="O5">
        <v>5</v>
      </c>
      <c r="P5">
        <v>1</v>
      </c>
      <c r="Q5" t="s">
        <v>27</v>
      </c>
    </row>
    <row r="6" spans="1:17" ht="17" thickBot="1" x14ac:dyDescent="0.25">
      <c r="F6" s="1" t="s">
        <v>44</v>
      </c>
      <c r="G6" s="2">
        <v>2</v>
      </c>
      <c r="H6" s="2">
        <v>4</v>
      </c>
      <c r="I6" s="2">
        <v>4</v>
      </c>
      <c r="J6" s="2">
        <v>4</v>
      </c>
      <c r="K6" s="2">
        <v>4</v>
      </c>
      <c r="L6" s="2">
        <v>4</v>
      </c>
      <c r="M6" s="2">
        <v>4</v>
      </c>
      <c r="N6" s="2">
        <v>4</v>
      </c>
      <c r="O6" s="2">
        <v>4</v>
      </c>
      <c r="P6" s="2">
        <v>4</v>
      </c>
      <c r="Q6" s="3">
        <f>SUM(G6:P6)*2.5</f>
        <v>95</v>
      </c>
    </row>
    <row r="8" spans="1:17" ht="17" thickBot="1" x14ac:dyDescent="0.25">
      <c r="A8" t="s">
        <v>28</v>
      </c>
      <c r="B8" t="s">
        <v>18</v>
      </c>
      <c r="C8" t="s">
        <v>29</v>
      </c>
      <c r="D8" t="s">
        <v>30</v>
      </c>
      <c r="E8" t="s">
        <v>18</v>
      </c>
      <c r="F8" t="s">
        <v>31</v>
      </c>
      <c r="G8">
        <v>3</v>
      </c>
      <c r="H8">
        <v>2</v>
      </c>
      <c r="I8">
        <v>4</v>
      </c>
      <c r="J8">
        <v>2</v>
      </c>
      <c r="K8">
        <v>4</v>
      </c>
      <c r="L8">
        <v>2</v>
      </c>
      <c r="M8">
        <v>4</v>
      </c>
      <c r="N8">
        <v>1</v>
      </c>
      <c r="O8">
        <v>4</v>
      </c>
      <c r="P8">
        <v>3</v>
      </c>
      <c r="Q8" t="s">
        <v>32</v>
      </c>
    </row>
    <row r="9" spans="1:17" ht="17" thickBot="1" x14ac:dyDescent="0.25">
      <c r="F9" s="1" t="s">
        <v>44</v>
      </c>
      <c r="G9" s="2">
        <v>2</v>
      </c>
      <c r="H9" s="2">
        <v>3</v>
      </c>
      <c r="I9" s="2">
        <v>3</v>
      </c>
      <c r="J9" s="2">
        <v>3</v>
      </c>
      <c r="K9" s="2">
        <v>3</v>
      </c>
      <c r="L9" s="2">
        <v>3</v>
      </c>
      <c r="M9" s="2">
        <v>3</v>
      </c>
      <c r="N9" s="2">
        <v>4</v>
      </c>
      <c r="O9" s="2">
        <v>3</v>
      </c>
      <c r="P9" s="2">
        <v>2</v>
      </c>
      <c r="Q9" s="3">
        <f>SUM(G9:P9)*2.5</f>
        <v>72.5</v>
      </c>
    </row>
    <row r="11" spans="1:17" ht="17" thickBot="1" x14ac:dyDescent="0.25">
      <c r="A11" t="s">
        <v>33</v>
      </c>
      <c r="B11" t="s">
        <v>18</v>
      </c>
      <c r="C11" t="s">
        <v>34</v>
      </c>
      <c r="D11" t="s">
        <v>35</v>
      </c>
      <c r="E11" t="s">
        <v>18</v>
      </c>
      <c r="F11" t="s">
        <v>31</v>
      </c>
      <c r="G11">
        <v>5</v>
      </c>
      <c r="H11">
        <v>2</v>
      </c>
      <c r="I11">
        <v>4</v>
      </c>
      <c r="J11">
        <v>2</v>
      </c>
      <c r="K11">
        <v>4</v>
      </c>
      <c r="L11">
        <v>2</v>
      </c>
      <c r="M11">
        <v>5</v>
      </c>
      <c r="N11">
        <v>1</v>
      </c>
      <c r="O11">
        <v>4</v>
      </c>
      <c r="P11">
        <v>2</v>
      </c>
      <c r="Q11" t="s">
        <v>36</v>
      </c>
    </row>
    <row r="12" spans="1:17" ht="17" thickBot="1" x14ac:dyDescent="0.25">
      <c r="F12" s="1" t="s">
        <v>44</v>
      </c>
      <c r="G12" s="2">
        <v>4</v>
      </c>
      <c r="H12" s="2">
        <v>3</v>
      </c>
      <c r="I12" s="2">
        <v>3</v>
      </c>
      <c r="J12" s="2">
        <v>3</v>
      </c>
      <c r="K12" s="2">
        <v>3</v>
      </c>
      <c r="L12" s="2">
        <v>3</v>
      </c>
      <c r="M12" s="2">
        <v>4</v>
      </c>
      <c r="N12" s="2">
        <v>4</v>
      </c>
      <c r="O12" s="2">
        <v>3</v>
      </c>
      <c r="P12" s="2">
        <v>3</v>
      </c>
      <c r="Q12" s="3">
        <f>SUM(G12:P12)*2.5</f>
        <v>82.5</v>
      </c>
    </row>
    <row r="14" spans="1:17" ht="17" thickBot="1" x14ac:dyDescent="0.25">
      <c r="A14" t="s">
        <v>37</v>
      </c>
      <c r="B14" t="s">
        <v>18</v>
      </c>
      <c r="C14" t="s">
        <v>38</v>
      </c>
      <c r="D14" t="s">
        <v>39</v>
      </c>
      <c r="E14" t="s">
        <v>18</v>
      </c>
      <c r="F14" t="s">
        <v>31</v>
      </c>
      <c r="G14">
        <v>5</v>
      </c>
      <c r="H14">
        <v>1</v>
      </c>
      <c r="I14">
        <v>5</v>
      </c>
      <c r="J14">
        <v>1</v>
      </c>
      <c r="K14">
        <v>5</v>
      </c>
      <c r="L14">
        <v>1</v>
      </c>
      <c r="M14">
        <v>5</v>
      </c>
      <c r="N14">
        <v>1</v>
      </c>
      <c r="O14">
        <v>5</v>
      </c>
      <c r="P14">
        <v>2</v>
      </c>
    </row>
    <row r="15" spans="1:17" ht="17" thickBot="1" x14ac:dyDescent="0.25">
      <c r="F15" s="1" t="s">
        <v>44</v>
      </c>
      <c r="G15" s="2">
        <v>4</v>
      </c>
      <c r="H15" s="2">
        <v>4</v>
      </c>
      <c r="I15" s="2">
        <v>4</v>
      </c>
      <c r="J15" s="2">
        <v>4</v>
      </c>
      <c r="K15" s="2">
        <v>4</v>
      </c>
      <c r="L15" s="2">
        <v>4</v>
      </c>
      <c r="M15" s="2">
        <v>4</v>
      </c>
      <c r="N15" s="2">
        <v>4</v>
      </c>
      <c r="O15" s="2">
        <v>4</v>
      </c>
      <c r="P15" s="2">
        <v>3</v>
      </c>
      <c r="Q15" s="3">
        <f>SUM(G15:P15)*2.5</f>
        <v>97.5</v>
      </c>
    </row>
    <row r="17" spans="1:17" ht="17" thickBot="1" x14ac:dyDescent="0.25">
      <c r="A17" t="s">
        <v>40</v>
      </c>
      <c r="B17" t="s">
        <v>18</v>
      </c>
      <c r="C17" t="s">
        <v>41</v>
      </c>
      <c r="D17" t="s">
        <v>42</v>
      </c>
      <c r="E17" t="s">
        <v>18</v>
      </c>
      <c r="F17" t="s">
        <v>31</v>
      </c>
      <c r="G17">
        <v>5</v>
      </c>
      <c r="H17">
        <v>1</v>
      </c>
      <c r="I17">
        <v>5</v>
      </c>
      <c r="J17">
        <v>2</v>
      </c>
      <c r="K17">
        <v>5</v>
      </c>
      <c r="L17">
        <v>1</v>
      </c>
      <c r="M17">
        <v>5</v>
      </c>
      <c r="N17">
        <v>1</v>
      </c>
      <c r="O17">
        <v>5</v>
      </c>
      <c r="P17">
        <v>1</v>
      </c>
      <c r="Q17" t="s">
        <v>43</v>
      </c>
    </row>
    <row r="18" spans="1:17" ht="17" thickBot="1" x14ac:dyDescent="0.25">
      <c r="F18" s="1" t="s">
        <v>44</v>
      </c>
      <c r="G18" s="2">
        <v>4</v>
      </c>
      <c r="H18" s="2">
        <v>4</v>
      </c>
      <c r="I18" s="2">
        <v>4</v>
      </c>
      <c r="J18" s="2">
        <v>3</v>
      </c>
      <c r="K18" s="2">
        <v>4</v>
      </c>
      <c r="L18" s="2">
        <v>4</v>
      </c>
      <c r="M18" s="2">
        <v>4</v>
      </c>
      <c r="N18" s="2">
        <v>4</v>
      </c>
      <c r="O18" s="2">
        <v>4</v>
      </c>
      <c r="P18" s="2">
        <v>4</v>
      </c>
      <c r="Q18" s="3">
        <f>SUM(G18:P18)*2.5</f>
        <v>97.5</v>
      </c>
    </row>
    <row r="20" spans="1:17" ht="17" thickBot="1" x14ac:dyDescent="0.25"/>
    <row r="21" spans="1:17" ht="17" thickBot="1" x14ac:dyDescent="0.25">
      <c r="F21" s="7" t="s">
        <v>45</v>
      </c>
      <c r="G21" s="8"/>
      <c r="H21" s="8"/>
      <c r="I21" s="9">
        <f>(Q3+Q6+Q9+Q12+Q15+Q18)/6</f>
        <v>89.166666666666671</v>
      </c>
    </row>
  </sheetData>
  <mergeCells count="1">
    <mergeCell ref="F21:H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TaskPaperCLITool_UsabilityTest_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Ohmar, Yamin</dc:creator>
  <cp:lastModifiedBy>Ohmar, Yamin</cp:lastModifiedBy>
  <dcterms:created xsi:type="dcterms:W3CDTF">2025-04-25T20:09:13Z</dcterms:created>
  <dcterms:modified xsi:type="dcterms:W3CDTF">2025-04-25T20:14:10Z</dcterms:modified>
</cp:coreProperties>
</file>